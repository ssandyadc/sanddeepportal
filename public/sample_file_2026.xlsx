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em categories\"/>
    </mc:Choice>
  </mc:AlternateContent>
  <bookViews>
    <workbookView xWindow="0" yWindow="0" windowWidth="23040" windowHeight="9384" firstSheet="1" activeTab="1"/>
  </bookViews>
  <sheets>
    <sheet name="pivot" sheetId="2" state="hidden" r:id="rId1"/>
    <sheet name="sample file" sheetId="1" r:id="rId2"/>
  </sheets>
  <definedNames>
    <definedName name="_xlnm._FilterDatabase" localSheetId="1" hidden="1">'sample file'!$A$1:$P$1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2" i="1"/>
  <c r="L2" i="1"/>
</calcChain>
</file>

<file path=xl/sharedStrings.xml><?xml version="1.0" encoding="utf-8"?>
<sst xmlns="http://schemas.openxmlformats.org/spreadsheetml/2006/main" count="308" uniqueCount="198">
  <si>
    <t xml:space="preserve">  Category Name</t>
  </si>
  <si>
    <t>Quardrant</t>
  </si>
  <si>
    <t>modified date</t>
  </si>
  <si>
    <t>Seller</t>
  </si>
  <si>
    <t>OEM</t>
  </si>
  <si>
    <t>Catalog</t>
  </si>
  <si>
    <t>List of Brands</t>
  </si>
  <si>
    <t>Bivalent Rdt Malaria Kit For Ncvbdc Programme</t>
  </si>
  <si>
    <t>21.05.2024</t>
  </si>
  <si>
    <t>https://mkp.gem.gov.in/browse_nodes/browse_list#!/brands?bnId=home_labo_meas_pati_biva</t>
  </si>
  <si>
    <t>https://mkp.gem.gov.in/patient-point-of-care-testing-supplies-and-equipment-bivalent-rdt-malaria-kit-for-ncvbdc-programme/search</t>
  </si>
  <si>
    <t>Fire Hoses With Delivery Coupling</t>
  </si>
  <si>
    <t>07.11.2023</t>
  </si>
  <si>
    <t>https://mkp.gem.gov.in/browse_nodes/browse_list#!/brands?bnId=home_defe_fire_fire_fi37180148</t>
  </si>
  <si>
    <t>https://mkp.gem.gov.in/fire-fighting-equipment-fire-hoses-with-delivery-coupling/search</t>
  </si>
  <si>
    <t>Hdpe/Pp Woven Sacks For Packaging 50kg Food Grains (V3) Isi Marked To Is 14887</t>
  </si>
  <si>
    <t>23.06.2025</t>
  </si>
  <si>
    <t>https://mkp.gem.gov.in/browse_nodes/browse_list#!/brands?bnId=home_mate_cont_bags_hd03836060</t>
  </si>
  <si>
    <t>https://mkp.gem.gov.in/bags-hdpe-pp-woven-sacks-for-packaging-50kg-food-grains-v3-isi-marked-to-is-14887/search</t>
  </si>
  <si>
    <t>Passenger Car</t>
  </si>
  <si>
    <t>02.12.2025</t>
  </si>
  <si>
    <t>https://mkp.gem.gov.in/browse_nodes/browse_list#!/brands?bnId=home_ve66014551_moto_pass_pass</t>
  </si>
  <si>
    <t>https://mkp.gem.gov.in/vehicles-and-their-accessories-and-components-motor-vehicles-passenger-motor-vehicles-passenger-car/search</t>
  </si>
  <si>
    <t>Safety Footwear For Railway Trackmen</t>
  </si>
  <si>
    <t>07.08.2025</t>
  </si>
  <si>
    <t>https://mkp.gem.gov.in/browse_nodes/browse_list#!/brands?bnId=home_lawe_pers_sa11311071_sa88174374</t>
  </si>
  <si>
    <t>https://mkp.gem.gov.in/law-enforcement-and-national-security-and-security-and-safety-equipment-and-supplies-personal-safety-and-protection-safety-footwear-safety-footwear-for-railway-trackmen/search</t>
  </si>
  <si>
    <t>Built Up Trucks (V3)</t>
  </si>
  <si>
    <t>03.11.2025</t>
  </si>
  <si>
    <t>https://mkp.gem.gov.in/browse_nodes/browse_list#!/brands?bnId=home_ve66014551_moto_prod_buil</t>
  </si>
  <si>
    <t>https://mkp.gem.gov.in/vehicles-and-their-accessories-and-components-motor-vehicles-product-and-material-transport-vehicles-built-up-trucks-v3-/search</t>
  </si>
  <si>
    <t>Safety Footwear For Railway Workshop</t>
  </si>
  <si>
    <t>28.07.2025</t>
  </si>
  <si>
    <t>https://mkp.gem.gov.in/browse_nodes/browse_list#!/brands?bnId=home_lawe_pers_sa11311071_sa86617068</t>
  </si>
  <si>
    <t>https://mkp.gem.gov.in/law-enforcement-and-national-security-and-security-and-safety-equipment-and-supplies-personal-safety-and-protection-safety-footwear-safety-footwear-for-railway-workshop/search</t>
  </si>
  <si>
    <t>Truck With Water Tanker</t>
  </si>
  <si>
    <t>27.12.2024</t>
  </si>
  <si>
    <t>https://mkp.gem.gov.in/browse_nodes/browse_list#!/brands?bnId=home_ve66014551_moto_prod_truc</t>
  </si>
  <si>
    <t>https://mkp.gem.gov.in/vehicles-and-their-accessories-and-components-motor-vehicles-product-and-material-transport-vehicles-truck-with-water-tanker/search</t>
  </si>
  <si>
    <t>Troop Carrier Police Vehicles (V2)</t>
  </si>
  <si>
    <t>18.12.2024</t>
  </si>
  <si>
    <t>https://mkp.gem.gov.in/browse_nodes/browse_list#!/brands?bnId=home_ve66014551_moto_safe_troo</t>
  </si>
  <si>
    <t>https://mkp.gem.gov.in/vehicles-and-their-accessories-and-components-motor-vehicles-safety-and-rescue-vehicles-troop-carrier-police-vehicles-v2-/search</t>
  </si>
  <si>
    <t>Automotive Chassis Fitted With Engine (V2)</t>
  </si>
  <si>
    <t>https://mkp.gem.gov.in/browse_nodes/browse_list#!/brands?bnId=home_ve66014551_vehi_auto_auto</t>
  </si>
  <si>
    <t>https://mkp.gem.gov.in/vehicles-and-their-accessories-and-components-vehicle-bodies-and-trailers-automotive-chassis-automotive-chassis-fitted-with-engine-v2-/search</t>
  </si>
  <si>
    <t>Electric Buses (V2)</t>
  </si>
  <si>
    <t>16.12.2025</t>
  </si>
  <si>
    <t>https://mkp.gem.gov.in/browse_nodes/browse_list#!/brands?bnId=home_ve66014551_moto_pass_elec</t>
  </si>
  <si>
    <t>https://mkp.gem.gov.in/vehicles-and-their-accessories-and-components-motor-vehicles-passenger-motor-vehicles-electric-buses-v2-/search</t>
  </si>
  <si>
    <t>Buses (V2)</t>
  </si>
  <si>
    <t>https://mkp.gem.gov.in/browse_nodes/browse_list#!/brands?bnId=home_ve66014551_moto_pass_buse</t>
  </si>
  <si>
    <t>https://mkp.gem.gov.in/vehicles-and-their-accessories-and-components-motor-vehicles-passenger-motor-vehicles-buses-v2-/search</t>
  </si>
  <si>
    <t>Two Wheeler - Motorcycle, Scooter And Moped (V2)</t>
  </si>
  <si>
    <t>17.10.2025</t>
  </si>
  <si>
    <t>https://mkp.gem.gov.in/browse_nodes/browse_list#!/brands?bnId=home_ve66014551_moto_moto_twow</t>
  </si>
  <si>
    <t>https://mkp.gem.gov.in/vehicles-and-their-accessories-and-components-motor-vehicles-motorized-cycles-two-wheeler-motorcycle-scooter-and-moped-v2-/search</t>
  </si>
  <si>
    <t>Ayurvedic Classical Medicines - Choorna</t>
  </si>
  <si>
    <t>14.11.2025</t>
  </si>
  <si>
    <t>https://mkp.gem.gov.in/browse_nodes/browse_list#!/brands?bnId=home_drug_herb_ayur_ay86303660</t>
  </si>
  <si>
    <t>https://mkp.gem.gov.in/drugs-and-pharmaceutical-productsold-herbal-drugs-ayurvedicmedicines-ayurvedic-classical-medicines-choorna/search</t>
  </si>
  <si>
    <t>Revolving Chair (V5)</t>
  </si>
  <si>
    <t>06.11.2025</t>
  </si>
  <si>
    <t>https://mkp.gem.gov.in/browse_nodes/browse_list#!/brands?bnId=home_fu14684684_acco_fu82806882_re71201828</t>
  </si>
  <si>
    <t>https://mkp.gem.gov.in/furniture-and-furnishings-accommodation-furniture-furniture-revolving-chair-v5-/search</t>
  </si>
  <si>
    <t>Chair (Without Wheels) For General Purpose</t>
  </si>
  <si>
    <t>29.08.2025</t>
  </si>
  <si>
    <t>https://mkp.gem.gov.in/browse_nodes/browse_list#!/brands?bnId=home_fu14684684_acco_fu82806882_fixe</t>
  </si>
  <si>
    <t>https://mkp.gem.gov.in/furniture-and-furnishings-accommodation-furniture-furniture-fixed-chair-stationary-chair/search</t>
  </si>
  <si>
    <t>Modular Table / Meeting Table / Centre Table (V2)</t>
  </si>
  <si>
    <t>04.11.2025</t>
  </si>
  <si>
    <t>https://mkp.gem.gov.in/browse_nodes/browse_list#!/brands?bnId=home_fu14684684_acco_offi_mo51130563</t>
  </si>
  <si>
    <t>https://mkp.gem.gov.in/furniture-and-furnishings-accommodation-furniture-office-furniture-modular-table-v2-/search</t>
  </si>
  <si>
    <t>Metal Shelving Racks (Adjustable Type) Confirming To Is 1883 (V2)</t>
  </si>
  <si>
    <t>https://mkp.gem.gov.in/browse_nodes/browse_list#!/brands?bnId=home_mate_mate_shel_me52670574</t>
  </si>
  <si>
    <t>https://mkp.gem.gov.in/shelving-and-storage-metal-shelving-racks-adjustable-type-confirming-to-is-1883-v2-/search</t>
  </si>
  <si>
    <t>Desk And Bench Set For Classroom/Training Area</t>
  </si>
  <si>
    <t>08.04.2025</t>
  </si>
  <si>
    <t>https://mkp.gem.gov.in/browse_nodes/browse_list#!/brands?bnId=home_fu14684684_clas_gene_desk</t>
  </si>
  <si>
    <t>https://mkp.gem.gov.in/furniture-and-furnishings-classroom-and-instructional-and-institutional-furniture-and-fixtures-general-classroom-furnishings-desk-and-bench-set-for-classroom-training-area/search</t>
  </si>
  <si>
    <t>Executive Table (V4)</t>
  </si>
  <si>
    <t>11.11.2025</t>
  </si>
  <si>
    <t>https://mkp.gem.gov.in/browse_nodes/browse_list#!/brands?bnId=home_fu14684684_acco_fu82806882_exec</t>
  </si>
  <si>
    <t>https://mkp.gem.gov.in/furniture-and-furnishings-accommodation-furniture-furniture-executive-table-v4-/search</t>
  </si>
  <si>
    <t>Sofa (V3)</t>
  </si>
  <si>
    <t>https://mkp.gem.gov.in/browse_nodes/browse_list#!/brands?bnId=home_fu14684684_acco_fu82806882_sofa</t>
  </si>
  <si>
    <t>https://mkp.gem.gov.in/furniture-and-furnishings-accommodation-furniture-furniture-sofa-v3-/search</t>
  </si>
  <si>
    <t>Metal Beds (V3)</t>
  </si>
  <si>
    <t>26.12.2024</t>
  </si>
  <si>
    <t>https://mkp.gem.gov.in/browse_nodes/browse_list#!/brands?bnId=home_fu14684684_acco_fu82806882_me73452643</t>
  </si>
  <si>
    <t>https://mkp.gem.gov.in/furniture-and-furnishings-accommodation-furniture-furniture-metal-beds-v3-/search</t>
  </si>
  <si>
    <t>Composite Office Tables Confirming To Is 8126 (V2)</t>
  </si>
  <si>
    <t>23.10.2025</t>
  </si>
  <si>
    <t>https://mkp.gem.gov.in/browse_nodes/browse_list#!/brands?bnId=home_fu14684684_acco_fu82806882_co55747287</t>
  </si>
  <si>
    <t>https://mkp.gem.gov.in/furniture-and-furnishings-accommodation-furniture-furniture-composite-office-tables-confirming-to-is-8126-v2-/search</t>
  </si>
  <si>
    <t>Wooden Almirah / Wardrobe (V2)</t>
  </si>
  <si>
    <t>18.03.2025</t>
  </si>
  <si>
    <t>https://mkp.gem.gov.in/browse_nodes/browse_list#!/brands?bnId=home_fu14684684_acco_fu82806882_wo11113082</t>
  </si>
  <si>
    <t>https://mkp.gem.gov.in/furniture-and-furnishings-accommodation-furniture-furniture-wooden-almirah-wardrobe-v2-/search</t>
  </si>
  <si>
    <t>Wooden Shelf / Case / Rack / Credenza / Modular Storage (V2)</t>
  </si>
  <si>
    <t>https://mkp.gem.gov.in/browse_nodes/browse_list#!/brands?bnId=home_fu14684684_acco_fu82806882_wood</t>
  </si>
  <si>
    <t>https://mkp.gem.gov.in/furniture-and-furnishings-accommodation-furniture-furniture-wooden-shelf-case-rack-modular-storage-v2-/search</t>
  </si>
  <si>
    <t>Dry Erase Writing Boards (V3)</t>
  </si>
  <si>
    <t>24.04.2024</t>
  </si>
  <si>
    <t>https://mkp.gem.gov.in/browse_nodes/browse_list#!/brands?bnId=home_offi_of64586874_boar_dr70403674</t>
  </si>
  <si>
    <t>https://mkp.gem.gov.in/boards-dry-erase-writing-boards-v3-/search</t>
  </si>
  <si>
    <t>Hand Held Brush Cutter (V2)</t>
  </si>
  <si>
    <t>12.07.2024</t>
  </si>
  <si>
    <t>https://mkp.gem.gov.in/browse_nodes/browse_list#!/brands?bnId=home_to77633157_hand_ag05264747_hand</t>
  </si>
  <si>
    <t>https://mkp.gem.gov.in/tools-and-general-mahinery-hand-tools-agriculture-forestry-and-garden-handtools-hand-held-brush-cutter-v2-/search</t>
  </si>
  <si>
    <t>Non Carbonated Beverage Dispenser (V2)</t>
  </si>
  <si>
    <t>22.05.2024</t>
  </si>
  <si>
    <t>https://mkp.gem.gov.in/browse_nodes/browse_list#!/brands?bnId=home_serv_inst_food_no66420337</t>
  </si>
  <si>
    <t>https://mkp.gem.gov.in/food-and-beverage-dispensing-equipment-non-carbonated-beverage-dispenser-v2-/search</t>
  </si>
  <si>
    <t>Door Mats</t>
  </si>
  <si>
    <t>18.12.2023</t>
  </si>
  <si>
    <t>https://mkp.gem.gov.in/browse_nodes/browse_list#!/brands?bnId=home_dome_floo_rugs_door</t>
  </si>
  <si>
    <t>https://mkp.gem.gov.in/door-mats/search</t>
  </si>
  <si>
    <t>Convection Heaters - Room Heater, Blower</t>
  </si>
  <si>
    <t>27.06.2024</t>
  </si>
  <si>
    <t>https://mkp.gem.gov.in/browse_nodes/browse_list#!/brands?bnId=home_dist_heat_heat_conv</t>
  </si>
  <si>
    <t>https://mkp.gem.gov.in/convection-heaters--room-heater,-blower/search</t>
  </si>
  <si>
    <t>Tables</t>
  </si>
  <si>
    <t>15.12.2025</t>
  </si>
  <si>
    <t>https://mkp.gem.gov.in/browse_nodes/browse_list#!/brands?bnId=home_hand_furn_of38878123_tabl</t>
  </si>
  <si>
    <t>https://mkp.gem.gov.in/handicrafts-furniture-office-bamboo-tables/search</t>
  </si>
  <si>
    <t>Plain Copier Paper (V3) Isi Marked To Is 14490</t>
  </si>
  <si>
    <t>19.05.2025</t>
  </si>
  <si>
    <t>https://mkp.gem.gov.in/browse_nodes/browse_list#!/brands?bnId=home_pape_pape_prin_plai</t>
  </si>
  <si>
    <t>https://mkp.gem.gov.in/printing-and-writing-paper-plain-copier-paper-v3-isi-marked-to-is-14490/search</t>
  </si>
  <si>
    <t>Register (V2)</t>
  </si>
  <si>
    <t>09.09.2025</t>
  </si>
  <si>
    <t>https://mkp.gem.gov.in/browse_nodes/browse_list#!/brands?bnId=home_offi_of64586874_plan_regi</t>
  </si>
  <si>
    <t>https://mkp.gem.gov.in/planning-system-register-v2-/search</t>
  </si>
  <si>
    <t>File/Folder (V3)</t>
  </si>
  <si>
    <t>26.12.2025</t>
  </si>
  <si>
    <t>https://mkp.gem.gov.in/browse_nodes/browse_list#!/brands?bnId=home_offi_of54864251_fold_file</t>
  </si>
  <si>
    <t>https://mkp.gem.gov.in/office-equipment-and-accessories-and-supplies-office-supply-folders-and-binders-and-indexes-file-folder-v3-/search</t>
  </si>
  <si>
    <t>Desk Pads - Writing (V2)</t>
  </si>
  <si>
    <t>29.07.2025</t>
  </si>
  <si>
    <t>https://mkp.gem.gov.in/browse_nodes/browse_list#!/brands?bnId=home_pape_pape_prin_desk</t>
  </si>
  <si>
    <t>https://mkp.gem.gov.in/printing-and-writing-paper-desk-pads-writing-v2-/search</t>
  </si>
  <si>
    <t>Saharanpur Wood Craft - Odop</t>
  </si>
  <si>
    <t>13.02.2023</t>
  </si>
  <si>
    <t>https://mkp.gem.gov.in/browse_nodes/browse_list#!/brands?bnId=home_odop_utta_saha_saha</t>
  </si>
  <si>
    <t>https://mkp.gem.gov.in/odop-uttar-pradesh-saharanpur-saharanpur-wood-craft-odop/search</t>
  </si>
  <si>
    <t>Madhubhani Painting - Odop</t>
  </si>
  <si>
    <t>https://mkp.gem.gov.in/browse_nodes/browse_list#!/brands?bnId=home_odop_biha_madh_madh</t>
  </si>
  <si>
    <t>https://mkp.gem.gov.in/odop-bihar-madhubhani-madhubhani-painting-odop/search</t>
  </si>
  <si>
    <t>Phulkari Stole And Suits From Patiala - Odop</t>
  </si>
  <si>
    <t>17.01.2024</t>
  </si>
  <si>
    <t>https://mkp.gem.gov.in/browse_nodes/browse_list#!/brands?bnId=home_odop_punj_pati_ph72074401</t>
  </si>
  <si>
    <t>https://mkp.gem.gov.in/odop-punjab-patiala-phulkari-stole-and-suits-from-patiala-odop/search</t>
  </si>
  <si>
    <t>Bidriware Products - Odop</t>
  </si>
  <si>
    <t>https://mkp.gem.gov.in/browse_nodes/browse_list#!/brands?bnId=home_odop_karn_bida_bidr</t>
  </si>
  <si>
    <t>https://mkp.gem.gov.in/odop-karnataka-bidar-bidriware-products-odop/search</t>
  </si>
  <si>
    <t>Moradabadi Metal Craft - Odop</t>
  </si>
  <si>
    <t>https://mkp.gem.gov.in/browse_nodes/browse_list#!/brands?bnId=home_odop_utta_mora_mora</t>
  </si>
  <si>
    <t>https://mkp.gem.gov.in/odop-uttar-pradesh-moradabad-moradabadi-metal-craft-odop/search</t>
  </si>
  <si>
    <t>Kannauj Attar - Odop</t>
  </si>
  <si>
    <t>21.09.2022</t>
  </si>
  <si>
    <t>https://mkp.gem.gov.in/browse_nodes/browse_list#!/brands?bnId=home_odop_utta_kann_kann</t>
  </si>
  <si>
    <t>https://mkp.gem.gov.in/odop-uttar-pradesh-kannauj-kannauj-attar-odop/search</t>
  </si>
  <si>
    <t>Banarasi Silk Stole - Odop</t>
  </si>
  <si>
    <t>https://mkp.gem.gov.in/browse_nodes/browse_list#!/brands?bnId=home_odop_utta_vara_bana</t>
  </si>
  <si>
    <t>https://mkp.gem.gov.in/odop-uttar-pradesh-varanasi-banarasi-silk-stole-odop/search</t>
  </si>
  <si>
    <t>Computer Accessories</t>
  </si>
  <si>
    <t>Computer Accessories Shop</t>
  </si>
  <si>
    <t>Beverages &amp; Snacks</t>
  </si>
  <si>
    <t>Beverage Distributor</t>
  </si>
  <si>
    <t>Uncategorized</t>
  </si>
  <si>
    <t>Unknown</t>
  </si>
  <si>
    <t>Electrical Supplies</t>
  </si>
  <si>
    <t>Electrical Wholesaler / Battery Dealer</t>
  </si>
  <si>
    <t>Ayurvedic Medicines</t>
  </si>
  <si>
    <t>Ayurvedic / Pharma Distributor</t>
  </si>
  <si>
    <t>Furniture (Specific)</t>
  </si>
  <si>
    <t>Furniture Shop</t>
  </si>
  <si>
    <t>Kitchenware</t>
  </si>
  <si>
    <t>Kitchenware Store</t>
  </si>
  <si>
    <t>Stationery</t>
  </si>
  <si>
    <t>Stationery Shop</t>
  </si>
  <si>
    <t>Hardware</t>
  </si>
  <si>
    <t>Hardware Store</t>
  </si>
  <si>
    <t>Edible Foods</t>
  </si>
  <si>
    <t>Grocery Wholesale Dealer</t>
  </si>
  <si>
    <t>Product search url</t>
  </si>
  <si>
    <t xml:space="preserve">Subcategory </t>
  </si>
  <si>
    <t>Where to Buy</t>
  </si>
  <si>
    <t>Order Value (Last Fy</t>
  </si>
  <si>
    <t>Order Value (Current Fy</t>
  </si>
  <si>
    <t>Order Volume (Last Fy</t>
  </si>
  <si>
    <t>Order Volume (Current Fy</t>
  </si>
  <si>
    <t>Q6 Category</t>
  </si>
  <si>
    <t>Q4 Category</t>
  </si>
  <si>
    <t>Q3 Category</t>
  </si>
  <si>
    <t>Q2 Category</t>
  </si>
  <si>
    <t>Q1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</si>
</sst>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3" fillId="0" borderId="1" xfId="1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kp.gem.gov.in/bags-hdpe-pp-woven-sacks-for-packaging-50kg-food-grains-v3-isi-marked-to-is-14887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workbookViewId="0">
      <selection activeCell="H41" sqref="H41"/>
    </sheetView>
  </sheetViews>
  <sheetFormatPr defaultRowHeight="18" x14ac:dyDescent="0.35"/>
  <cols>
    <col min="1" max="1" width="26" style="1" customWidth="1"/>
    <col min="2" max="2" width="12.21875" style="14" bestFit="1" customWidth="1"/>
    <col min="3" max="3" width="12.33203125" bestFit="1" customWidth="1"/>
    <col min="4" max="4" width="6.44140625" style="8" bestFit="1" customWidth="1"/>
    <col min="5" max="5" width="5.109375" style="8" bestFit="1" customWidth="1"/>
    <col min="6" max="6" width="7.33203125" style="8" bestFit="1" customWidth="1"/>
    <col min="7" max="7" width="13.88671875" style="8" bestFit="1" customWidth="1"/>
    <col min="8" max="8" width="14.77734375" style="8" customWidth="1"/>
    <col min="11" max="11" width="13.5546875" bestFit="1" customWidth="1"/>
    <col min="12" max="12" width="15.33203125" bestFit="1" customWidth="1"/>
    <col min="13" max="14" width="14.109375" style="1" customWidth="1"/>
    <col min="15" max="16" width="41.5546875" style="1" customWidth="1"/>
  </cols>
  <sheetData>
    <row r="1" spans="1:16" s="11" customFormat="1" ht="28.8" customHeight="1" x14ac:dyDescent="0.35">
      <c r="A1" s="9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189</v>
      </c>
      <c r="H1" s="9" t="s">
        <v>190</v>
      </c>
      <c r="I1" s="9" t="s">
        <v>191</v>
      </c>
      <c r="J1" s="9" t="s">
        <v>192</v>
      </c>
      <c r="K1" s="9"/>
      <c r="L1" s="9"/>
      <c r="M1" s="10" t="s">
        <v>187</v>
      </c>
      <c r="N1" s="10" t="s">
        <v>188</v>
      </c>
      <c r="O1" s="9" t="s">
        <v>6</v>
      </c>
      <c r="P1" s="9" t="s">
        <v>186</v>
      </c>
    </row>
    <row r="2" spans="1:16" ht="44.4" x14ac:dyDescent="0.4">
      <c r="A2" s="2" t="s">
        <v>7</v>
      </c>
      <c r="B2" s="13" t="s">
        <v>197</v>
      </c>
      <c r="C2" s="3" t="s">
        <v>8</v>
      </c>
      <c r="D2" s="6">
        <v>19</v>
      </c>
      <c r="E2" s="6">
        <v>19</v>
      </c>
      <c r="F2" s="6">
        <v>20</v>
      </c>
      <c r="G2" s="7">
        <v>76898643</v>
      </c>
      <c r="H2" s="7">
        <v>68115176</v>
      </c>
      <c r="I2" s="3">
        <v>7</v>
      </c>
      <c r="J2" s="3">
        <v>30</v>
      </c>
      <c r="K2" s="12" t="str">
        <f>HYPERLINK(O2,"Click for Brands")</f>
        <v>Click for Brands</v>
      </c>
      <c r="L2" s="12" t="str">
        <f>HYPERLINK(P2,"Click for Products")</f>
        <v>Click for Products</v>
      </c>
      <c r="M2" s="2" t="s">
        <v>166</v>
      </c>
      <c r="N2" s="2" t="s">
        <v>167</v>
      </c>
      <c r="O2" s="2" t="s">
        <v>9</v>
      </c>
      <c r="P2" s="2" t="s">
        <v>10</v>
      </c>
    </row>
    <row r="3" spans="1:16" ht="44.4" x14ac:dyDescent="0.4">
      <c r="A3" s="2" t="s">
        <v>11</v>
      </c>
      <c r="B3" s="13" t="s">
        <v>197</v>
      </c>
      <c r="C3" s="3" t="s">
        <v>12</v>
      </c>
      <c r="D3" s="6">
        <v>10</v>
      </c>
      <c r="E3" s="6">
        <v>10</v>
      </c>
      <c r="F3" s="6">
        <v>44</v>
      </c>
      <c r="G3" s="7">
        <v>2595941</v>
      </c>
      <c r="H3" s="7">
        <v>1168978</v>
      </c>
      <c r="I3" s="3">
        <v>24</v>
      </c>
      <c r="J3" s="3">
        <v>18</v>
      </c>
      <c r="K3" s="12" t="str">
        <f>HYPERLINK(O3,"Click for Brands")</f>
        <v>Click for Brands</v>
      </c>
      <c r="L3" s="12" t="str">
        <f>HYPERLINK(P3,"Click for Products")</f>
        <v>Click for Products</v>
      </c>
      <c r="M3" s="2" t="s">
        <v>166</v>
      </c>
      <c r="N3" s="2" t="s">
        <v>167</v>
      </c>
      <c r="O3" s="2" t="s">
        <v>13</v>
      </c>
      <c r="P3" s="2" t="s">
        <v>14</v>
      </c>
    </row>
    <row r="4" spans="1:16" ht="44.4" x14ac:dyDescent="0.4">
      <c r="A4" s="2" t="s">
        <v>15</v>
      </c>
      <c r="B4" s="13" t="s">
        <v>197</v>
      </c>
      <c r="C4" s="3" t="s">
        <v>16</v>
      </c>
      <c r="D4" s="6">
        <v>9</v>
      </c>
      <c r="E4" s="6">
        <v>9</v>
      </c>
      <c r="F4" s="6">
        <v>10</v>
      </c>
      <c r="G4" s="6">
        <v>0</v>
      </c>
      <c r="H4" s="6">
        <v>0</v>
      </c>
      <c r="I4" s="3">
        <v>0</v>
      </c>
      <c r="J4" s="3">
        <v>0</v>
      </c>
      <c r="K4" s="12" t="str">
        <f>HYPERLINK(O4,"Click for Brands")</f>
        <v>Click for Brands</v>
      </c>
      <c r="L4" s="12" t="str">
        <f>HYPERLINK(P4,"Click for Products")</f>
        <v>Click for Products</v>
      </c>
      <c r="M4" s="2" t="s">
        <v>168</v>
      </c>
      <c r="N4" s="2" t="s">
        <v>169</v>
      </c>
      <c r="O4" s="2" t="s">
        <v>17</v>
      </c>
      <c r="P4" s="5" t="s">
        <v>18</v>
      </c>
    </row>
    <row r="5" spans="1:16" ht="44.4" x14ac:dyDescent="0.4">
      <c r="A5" s="2" t="s">
        <v>19</v>
      </c>
      <c r="B5" s="13" t="s">
        <v>197</v>
      </c>
      <c r="C5" s="3" t="s">
        <v>20</v>
      </c>
      <c r="D5" s="6">
        <v>8</v>
      </c>
      <c r="E5" s="6">
        <v>8</v>
      </c>
      <c r="F5" s="6">
        <v>350</v>
      </c>
      <c r="G5" s="7">
        <v>16081030818</v>
      </c>
      <c r="H5" s="7">
        <v>18703701204</v>
      </c>
      <c r="I5" s="4">
        <v>3232</v>
      </c>
      <c r="J5" s="4">
        <v>4677</v>
      </c>
      <c r="K5" s="12" t="str">
        <f>HYPERLINK(O5,"Click for Brands")</f>
        <v>Click for Brands</v>
      </c>
      <c r="L5" s="12" t="str">
        <f>HYPERLINK(P5,"Click for Products")</f>
        <v>Click for Products</v>
      </c>
      <c r="M5" s="2" t="s">
        <v>170</v>
      </c>
      <c r="N5" s="2" t="s">
        <v>171</v>
      </c>
      <c r="O5" s="2" t="s">
        <v>21</v>
      </c>
      <c r="P5" s="2" t="s">
        <v>22</v>
      </c>
    </row>
    <row r="6" spans="1:16" ht="73.2" x14ac:dyDescent="0.4">
      <c r="A6" s="2" t="s">
        <v>23</v>
      </c>
      <c r="B6" s="13" t="s">
        <v>197</v>
      </c>
      <c r="C6" s="3" t="s">
        <v>24</v>
      </c>
      <c r="D6" s="6">
        <v>7</v>
      </c>
      <c r="E6" s="6">
        <v>7</v>
      </c>
      <c r="F6" s="6">
        <v>7</v>
      </c>
      <c r="G6" s="6">
        <v>0</v>
      </c>
      <c r="H6" s="7">
        <v>23400371</v>
      </c>
      <c r="I6" s="3">
        <v>0</v>
      </c>
      <c r="J6" s="3">
        <v>9</v>
      </c>
      <c r="K6" s="12" t="str">
        <f>HYPERLINK(O6,"Click for Brands")</f>
        <v>Click for Brands</v>
      </c>
      <c r="L6" s="12" t="str">
        <f>HYPERLINK(P6,"Click for Products")</f>
        <v>Click for Products</v>
      </c>
      <c r="M6" s="2" t="s">
        <v>166</v>
      </c>
      <c r="N6" s="2" t="s">
        <v>167</v>
      </c>
      <c r="O6" s="2" t="s">
        <v>25</v>
      </c>
      <c r="P6" s="2" t="s">
        <v>26</v>
      </c>
    </row>
    <row r="7" spans="1:16" ht="58.8" x14ac:dyDescent="0.4">
      <c r="A7" s="2" t="s">
        <v>27</v>
      </c>
      <c r="B7" s="13" t="s">
        <v>197</v>
      </c>
      <c r="C7" s="3" t="s">
        <v>28</v>
      </c>
      <c r="D7" s="6">
        <v>7</v>
      </c>
      <c r="E7" s="6">
        <v>7</v>
      </c>
      <c r="F7" s="6">
        <v>136</v>
      </c>
      <c r="G7" s="6">
        <v>0</v>
      </c>
      <c r="H7" s="7">
        <v>207897497</v>
      </c>
      <c r="I7" s="3">
        <v>0</v>
      </c>
      <c r="J7" s="3">
        <v>45</v>
      </c>
      <c r="K7" s="12" t="str">
        <f>HYPERLINK(O7,"Click for Brands")</f>
        <v>Click for Brands</v>
      </c>
      <c r="L7" s="12" t="str">
        <f>HYPERLINK(P7,"Click for Products")</f>
        <v>Click for Products</v>
      </c>
      <c r="M7" s="2" t="s">
        <v>170</v>
      </c>
      <c r="N7" s="2" t="s">
        <v>171</v>
      </c>
      <c r="O7" s="2" t="s">
        <v>29</v>
      </c>
      <c r="P7" s="2" t="s">
        <v>30</v>
      </c>
    </row>
    <row r="8" spans="1:16" ht="73.2" x14ac:dyDescent="0.4">
      <c r="A8" s="2" t="s">
        <v>31</v>
      </c>
      <c r="B8" s="13" t="s">
        <v>197</v>
      </c>
      <c r="C8" s="3" t="s">
        <v>32</v>
      </c>
      <c r="D8" s="6">
        <v>6</v>
      </c>
      <c r="E8" s="6">
        <v>6</v>
      </c>
      <c r="F8" s="6">
        <v>6</v>
      </c>
      <c r="G8" s="6">
        <v>0</v>
      </c>
      <c r="H8" s="7">
        <v>13497065</v>
      </c>
      <c r="I8" s="3">
        <v>0</v>
      </c>
      <c r="J8" s="3">
        <v>21</v>
      </c>
      <c r="K8" s="12" t="str">
        <f>HYPERLINK(O8,"Click for Brands")</f>
        <v>Click for Brands</v>
      </c>
      <c r="L8" s="12" t="str">
        <f>HYPERLINK(P8,"Click for Products")</f>
        <v>Click for Products</v>
      </c>
      <c r="M8" s="2" t="s">
        <v>166</v>
      </c>
      <c r="N8" s="2" t="s">
        <v>167</v>
      </c>
      <c r="O8" s="2" t="s">
        <v>33</v>
      </c>
      <c r="P8" s="2" t="s">
        <v>34</v>
      </c>
    </row>
    <row r="9" spans="1:16" ht="58.8" x14ac:dyDescent="0.4">
      <c r="A9" s="2" t="s">
        <v>35</v>
      </c>
      <c r="B9" s="13" t="s">
        <v>197</v>
      </c>
      <c r="C9" s="3" t="s">
        <v>36</v>
      </c>
      <c r="D9" s="6">
        <v>6</v>
      </c>
      <c r="E9" s="6">
        <v>6</v>
      </c>
      <c r="F9" s="6">
        <v>21</v>
      </c>
      <c r="G9" s="7">
        <v>498127152</v>
      </c>
      <c r="H9" s="7">
        <v>748447165</v>
      </c>
      <c r="I9" s="3">
        <v>29</v>
      </c>
      <c r="J9" s="3">
        <v>50</v>
      </c>
      <c r="K9" s="12" t="str">
        <f>HYPERLINK(O9,"Click for Brands")</f>
        <v>Click for Brands</v>
      </c>
      <c r="L9" s="12" t="str">
        <f>HYPERLINK(P9,"Click for Products")</f>
        <v>Click for Products</v>
      </c>
      <c r="M9" s="2" t="s">
        <v>166</v>
      </c>
      <c r="N9" s="2" t="s">
        <v>167</v>
      </c>
      <c r="O9" s="2" t="s">
        <v>37</v>
      </c>
      <c r="P9" s="2" t="s">
        <v>38</v>
      </c>
    </row>
    <row r="10" spans="1:16" ht="58.8" x14ac:dyDescent="0.4">
      <c r="A10" s="2" t="s">
        <v>39</v>
      </c>
      <c r="B10" s="13" t="s">
        <v>197</v>
      </c>
      <c r="C10" s="3" t="s">
        <v>40</v>
      </c>
      <c r="D10" s="6">
        <v>6</v>
      </c>
      <c r="E10" s="6">
        <v>6</v>
      </c>
      <c r="F10" s="6">
        <v>22</v>
      </c>
      <c r="G10" s="7">
        <v>5702452590</v>
      </c>
      <c r="H10" s="7">
        <v>5565442678</v>
      </c>
      <c r="I10" s="3">
        <v>85</v>
      </c>
      <c r="J10" s="3">
        <v>84</v>
      </c>
      <c r="K10" s="12" t="str">
        <f>HYPERLINK(O10,"Click for Brands")</f>
        <v>Click for Brands</v>
      </c>
      <c r="L10" s="12" t="str">
        <f>HYPERLINK(P10,"Click for Products")</f>
        <v>Click for Products</v>
      </c>
      <c r="M10" s="2" t="s">
        <v>172</v>
      </c>
      <c r="N10" s="2" t="s">
        <v>173</v>
      </c>
      <c r="O10" s="2" t="s">
        <v>41</v>
      </c>
      <c r="P10" s="2" t="s">
        <v>42</v>
      </c>
    </row>
    <row r="11" spans="1:16" ht="58.8" x14ac:dyDescent="0.4">
      <c r="A11" s="2" t="s">
        <v>43</v>
      </c>
      <c r="B11" s="13" t="s">
        <v>197</v>
      </c>
      <c r="C11" s="3" t="s">
        <v>40</v>
      </c>
      <c r="D11" s="6">
        <v>6</v>
      </c>
      <c r="E11" s="6">
        <v>6</v>
      </c>
      <c r="F11" s="6">
        <v>125</v>
      </c>
      <c r="G11" s="7">
        <v>6231301637</v>
      </c>
      <c r="H11" s="7">
        <v>657125330</v>
      </c>
      <c r="I11" s="3">
        <v>112</v>
      </c>
      <c r="J11" s="3">
        <v>56</v>
      </c>
      <c r="K11" s="12" t="str">
        <f>HYPERLINK(O11,"Click for Brands")</f>
        <v>Click for Brands</v>
      </c>
      <c r="L11" s="12" t="str">
        <f>HYPERLINK(P11,"Click for Products")</f>
        <v>Click for Products</v>
      </c>
      <c r="M11" s="2" t="s">
        <v>166</v>
      </c>
      <c r="N11" s="2" t="s">
        <v>167</v>
      </c>
      <c r="O11" s="2" t="s">
        <v>44</v>
      </c>
      <c r="P11" s="2" t="s">
        <v>45</v>
      </c>
    </row>
    <row r="12" spans="1:16" ht="58.8" x14ac:dyDescent="0.4">
      <c r="A12" s="2" t="s">
        <v>46</v>
      </c>
      <c r="B12" s="13" t="s">
        <v>197</v>
      </c>
      <c r="C12" s="3" t="s">
        <v>47</v>
      </c>
      <c r="D12" s="6">
        <v>7</v>
      </c>
      <c r="E12" s="6">
        <v>5</v>
      </c>
      <c r="F12" s="6">
        <v>25</v>
      </c>
      <c r="G12" s="7">
        <v>35600000</v>
      </c>
      <c r="H12" s="7">
        <v>383165338</v>
      </c>
      <c r="I12" s="3">
        <v>2</v>
      </c>
      <c r="J12" s="3">
        <v>5</v>
      </c>
      <c r="K12" s="12" t="str">
        <f>HYPERLINK(O12,"Click for Brands")</f>
        <v>Click for Brands</v>
      </c>
      <c r="L12" s="12" t="str">
        <f>HYPERLINK(P12,"Click for Products")</f>
        <v>Click for Products</v>
      </c>
      <c r="M12" s="2" t="s">
        <v>166</v>
      </c>
      <c r="N12" s="2" t="s">
        <v>167</v>
      </c>
      <c r="O12" s="2" t="s">
        <v>48</v>
      </c>
      <c r="P12" s="2" t="s">
        <v>49</v>
      </c>
    </row>
    <row r="13" spans="1:16" ht="44.4" x14ac:dyDescent="0.4">
      <c r="A13" s="2" t="s">
        <v>50</v>
      </c>
      <c r="B13" s="13" t="s">
        <v>197</v>
      </c>
      <c r="C13" s="3" t="s">
        <v>40</v>
      </c>
      <c r="D13" s="6">
        <v>5</v>
      </c>
      <c r="E13" s="6">
        <v>5</v>
      </c>
      <c r="F13" s="6">
        <v>211</v>
      </c>
      <c r="G13" s="7">
        <v>7318823938</v>
      </c>
      <c r="H13" s="7">
        <v>9155382957</v>
      </c>
      <c r="I13" s="3">
        <v>509</v>
      </c>
      <c r="J13" s="3">
        <v>541</v>
      </c>
      <c r="K13" s="12" t="str">
        <f>HYPERLINK(O13,"Click for Brands")</f>
        <v>Click for Brands</v>
      </c>
      <c r="L13" s="12" t="str">
        <f>HYPERLINK(P13,"Click for Products")</f>
        <v>Click for Products</v>
      </c>
      <c r="M13" s="2" t="s">
        <v>170</v>
      </c>
      <c r="N13" s="2" t="s">
        <v>171</v>
      </c>
      <c r="O13" s="2" t="s">
        <v>51</v>
      </c>
      <c r="P13" s="2" t="s">
        <v>52</v>
      </c>
    </row>
    <row r="14" spans="1:16" ht="58.8" x14ac:dyDescent="0.4">
      <c r="A14" s="2" t="s">
        <v>53</v>
      </c>
      <c r="B14" s="13" t="s">
        <v>197</v>
      </c>
      <c r="C14" s="3" t="s">
        <v>54</v>
      </c>
      <c r="D14" s="6">
        <v>5</v>
      </c>
      <c r="E14" s="6">
        <v>5</v>
      </c>
      <c r="F14" s="6">
        <v>108</v>
      </c>
      <c r="G14" s="7">
        <v>4928460134</v>
      </c>
      <c r="H14" s="7">
        <v>1657956751</v>
      </c>
      <c r="I14" s="3">
        <v>430</v>
      </c>
      <c r="J14" s="3">
        <v>297</v>
      </c>
      <c r="K14" s="12" t="str">
        <f>HYPERLINK(O14,"Click for Brands")</f>
        <v>Click for Brands</v>
      </c>
      <c r="L14" s="12" t="str">
        <f>HYPERLINK(P14,"Click for Products")</f>
        <v>Click for Products</v>
      </c>
      <c r="M14" s="2" t="s">
        <v>166</v>
      </c>
      <c r="N14" s="2" t="s">
        <v>167</v>
      </c>
      <c r="O14" s="2" t="s">
        <v>55</v>
      </c>
      <c r="P14" s="2" t="s">
        <v>56</v>
      </c>
    </row>
    <row r="15" spans="1:16" ht="58.8" x14ac:dyDescent="0.4">
      <c r="A15" s="2" t="s">
        <v>57</v>
      </c>
      <c r="B15" s="13" t="s">
        <v>197</v>
      </c>
      <c r="C15" s="3" t="s">
        <v>58</v>
      </c>
      <c r="D15" s="6">
        <v>5</v>
      </c>
      <c r="E15" s="6">
        <v>5</v>
      </c>
      <c r="F15" s="6">
        <v>171</v>
      </c>
      <c r="G15" s="7">
        <v>21930737</v>
      </c>
      <c r="H15" s="7">
        <v>9991424</v>
      </c>
      <c r="I15" s="3">
        <v>86</v>
      </c>
      <c r="J15" s="3">
        <v>46</v>
      </c>
      <c r="K15" s="12" t="str">
        <f>HYPERLINK(O15,"Click for Brands")</f>
        <v>Click for Brands</v>
      </c>
      <c r="L15" s="12" t="str">
        <f>HYPERLINK(P15,"Click for Products")</f>
        <v>Click for Products</v>
      </c>
      <c r="M15" s="2" t="s">
        <v>174</v>
      </c>
      <c r="N15" s="2" t="s">
        <v>175</v>
      </c>
      <c r="O15" s="2" t="s">
        <v>59</v>
      </c>
      <c r="P15" s="2" t="s">
        <v>60</v>
      </c>
    </row>
    <row r="16" spans="1:16" ht="44.4" x14ac:dyDescent="0.4">
      <c r="A16" s="2" t="s">
        <v>61</v>
      </c>
      <c r="B16" s="13" t="s">
        <v>196</v>
      </c>
      <c r="C16" s="3" t="s">
        <v>62</v>
      </c>
      <c r="D16" s="7">
        <v>2680</v>
      </c>
      <c r="E16" s="6">
        <v>550</v>
      </c>
      <c r="F16" s="7">
        <v>40954</v>
      </c>
      <c r="G16" s="6">
        <v>0</v>
      </c>
      <c r="H16" s="7">
        <v>579937290</v>
      </c>
      <c r="I16" s="3">
        <v>0</v>
      </c>
      <c r="J16" s="4">
        <v>10663</v>
      </c>
      <c r="K16" s="12" t="str">
        <f>HYPERLINK(O16,"Click for Brands")</f>
        <v>Click for Brands</v>
      </c>
      <c r="L16" s="12" t="str">
        <f>HYPERLINK(P16,"Click for Products")</f>
        <v>Click for Products</v>
      </c>
      <c r="M16" s="2" t="s">
        <v>176</v>
      </c>
      <c r="N16" s="2" t="s">
        <v>177</v>
      </c>
      <c r="O16" s="2" t="s">
        <v>63</v>
      </c>
      <c r="P16" s="2" t="s">
        <v>64</v>
      </c>
    </row>
    <row r="17" spans="1:16" ht="44.4" x14ac:dyDescent="0.4">
      <c r="A17" s="2" t="s">
        <v>65</v>
      </c>
      <c r="B17" s="13" t="s">
        <v>196</v>
      </c>
      <c r="C17" s="3" t="s">
        <v>66</v>
      </c>
      <c r="D17" s="7">
        <v>1841</v>
      </c>
      <c r="E17" s="6">
        <v>499</v>
      </c>
      <c r="F17" s="7">
        <v>9791</v>
      </c>
      <c r="G17" s="6">
        <v>0</v>
      </c>
      <c r="H17" s="7">
        <v>254587501</v>
      </c>
      <c r="I17" s="3">
        <v>0</v>
      </c>
      <c r="J17" s="4">
        <v>4303</v>
      </c>
      <c r="K17" s="12" t="str">
        <f>HYPERLINK(O17,"Click for Brands")</f>
        <v>Click for Brands</v>
      </c>
      <c r="L17" s="12" t="str">
        <f>HYPERLINK(P17,"Click for Products")</f>
        <v>Click for Products</v>
      </c>
      <c r="M17" s="2" t="s">
        <v>176</v>
      </c>
      <c r="N17" s="2" t="s">
        <v>177</v>
      </c>
      <c r="O17" s="2" t="s">
        <v>67</v>
      </c>
      <c r="P17" s="2" t="s">
        <v>68</v>
      </c>
    </row>
    <row r="18" spans="1:16" ht="44.4" x14ac:dyDescent="0.4">
      <c r="A18" s="2" t="s">
        <v>69</v>
      </c>
      <c r="B18" s="13" t="s">
        <v>196</v>
      </c>
      <c r="C18" s="3" t="s">
        <v>70</v>
      </c>
      <c r="D18" s="7">
        <v>2102</v>
      </c>
      <c r="E18" s="6">
        <v>419</v>
      </c>
      <c r="F18" s="7">
        <v>20829</v>
      </c>
      <c r="G18" s="7">
        <v>482730446</v>
      </c>
      <c r="H18" s="7">
        <v>1183201904</v>
      </c>
      <c r="I18" s="4">
        <v>4704</v>
      </c>
      <c r="J18" s="4">
        <v>9726</v>
      </c>
      <c r="K18" s="12" t="str">
        <f>HYPERLINK(O18,"Click for Brands")</f>
        <v>Click for Brands</v>
      </c>
      <c r="L18" s="12" t="str">
        <f>HYPERLINK(P18,"Click for Products")</f>
        <v>Click for Products</v>
      </c>
      <c r="M18" s="2" t="s">
        <v>176</v>
      </c>
      <c r="N18" s="2" t="s">
        <v>177</v>
      </c>
      <c r="O18" s="2" t="s">
        <v>71</v>
      </c>
      <c r="P18" s="2" t="s">
        <v>72</v>
      </c>
    </row>
    <row r="19" spans="1:16" ht="44.4" x14ac:dyDescent="0.4">
      <c r="A19" s="2" t="s">
        <v>73</v>
      </c>
      <c r="B19" s="13" t="s">
        <v>196</v>
      </c>
      <c r="C19" s="3" t="s">
        <v>70</v>
      </c>
      <c r="D19" s="7">
        <v>1154</v>
      </c>
      <c r="E19" s="6">
        <v>404</v>
      </c>
      <c r="F19" s="7">
        <v>6852</v>
      </c>
      <c r="G19" s="7">
        <v>218782668</v>
      </c>
      <c r="H19" s="7">
        <v>287841754</v>
      </c>
      <c r="I19" s="4">
        <v>1128</v>
      </c>
      <c r="J19" s="4">
        <v>1859</v>
      </c>
      <c r="K19" s="12" t="str">
        <f>HYPERLINK(O19,"Click for Brands")</f>
        <v>Click for Brands</v>
      </c>
      <c r="L19" s="12" t="str">
        <f>HYPERLINK(P19,"Click for Products")</f>
        <v>Click for Products</v>
      </c>
      <c r="M19" s="2" t="s">
        <v>178</v>
      </c>
      <c r="N19" s="2" t="s">
        <v>179</v>
      </c>
      <c r="O19" s="2" t="s">
        <v>74</v>
      </c>
      <c r="P19" s="2" t="s">
        <v>75</v>
      </c>
    </row>
    <row r="20" spans="1:16" ht="73.2" x14ac:dyDescent="0.4">
      <c r="A20" s="2" t="s">
        <v>76</v>
      </c>
      <c r="B20" s="13" t="s">
        <v>196</v>
      </c>
      <c r="C20" s="3" t="s">
        <v>77</v>
      </c>
      <c r="D20" s="6">
        <v>887</v>
      </c>
      <c r="E20" s="6">
        <v>341</v>
      </c>
      <c r="F20" s="7">
        <v>4618</v>
      </c>
      <c r="G20" s="6">
        <v>0</v>
      </c>
      <c r="H20" s="7">
        <v>1627720854</v>
      </c>
      <c r="I20" s="3">
        <v>0</v>
      </c>
      <c r="J20" s="4">
        <v>1683</v>
      </c>
      <c r="K20" s="12" t="str">
        <f>HYPERLINK(O20,"Click for Brands")</f>
        <v>Click for Brands</v>
      </c>
      <c r="L20" s="12" t="str">
        <f>HYPERLINK(P20,"Click for Products")</f>
        <v>Click for Products</v>
      </c>
      <c r="M20" s="2" t="s">
        <v>176</v>
      </c>
      <c r="N20" s="2" t="s">
        <v>177</v>
      </c>
      <c r="O20" s="2" t="s">
        <v>78</v>
      </c>
      <c r="P20" s="2" t="s">
        <v>79</v>
      </c>
    </row>
    <row r="21" spans="1:16" ht="44.4" x14ac:dyDescent="0.4">
      <c r="A21" s="2" t="s">
        <v>80</v>
      </c>
      <c r="B21" s="13" t="s">
        <v>196</v>
      </c>
      <c r="C21" s="3" t="s">
        <v>81</v>
      </c>
      <c r="D21" s="6">
        <v>861</v>
      </c>
      <c r="E21" s="6">
        <v>294</v>
      </c>
      <c r="F21" s="7">
        <v>10701</v>
      </c>
      <c r="G21" s="6">
        <v>0</v>
      </c>
      <c r="H21" s="7">
        <v>115480187</v>
      </c>
      <c r="I21" s="3">
        <v>0</v>
      </c>
      <c r="J21" s="4">
        <v>1089</v>
      </c>
      <c r="K21" s="12" t="str">
        <f>HYPERLINK(O21,"Click for Brands")</f>
        <v>Click for Brands</v>
      </c>
      <c r="L21" s="12" t="str">
        <f>HYPERLINK(P21,"Click for Products")</f>
        <v>Click for Products</v>
      </c>
      <c r="M21" s="2" t="s">
        <v>176</v>
      </c>
      <c r="N21" s="2" t="s">
        <v>177</v>
      </c>
      <c r="O21" s="2" t="s">
        <v>82</v>
      </c>
      <c r="P21" s="2" t="s">
        <v>83</v>
      </c>
    </row>
    <row r="22" spans="1:16" ht="44.4" x14ac:dyDescent="0.4">
      <c r="A22" s="2" t="s">
        <v>84</v>
      </c>
      <c r="B22" s="13" t="s">
        <v>196</v>
      </c>
      <c r="C22" s="3" t="s">
        <v>62</v>
      </c>
      <c r="D22" s="6">
        <v>802</v>
      </c>
      <c r="E22" s="6">
        <v>257</v>
      </c>
      <c r="F22" s="7">
        <v>25921</v>
      </c>
      <c r="G22" s="6">
        <v>0</v>
      </c>
      <c r="H22" s="7">
        <v>92224260</v>
      </c>
      <c r="I22" s="3">
        <v>0</v>
      </c>
      <c r="J22" s="3">
        <v>997</v>
      </c>
      <c r="K22" s="12" t="str">
        <f>HYPERLINK(O22,"Click for Brands")</f>
        <v>Click for Brands</v>
      </c>
      <c r="L22" s="12" t="str">
        <f>HYPERLINK(P22,"Click for Products")</f>
        <v>Click for Products</v>
      </c>
      <c r="M22" s="2" t="s">
        <v>176</v>
      </c>
      <c r="N22" s="2" t="s">
        <v>177</v>
      </c>
      <c r="O22" s="2" t="s">
        <v>85</v>
      </c>
      <c r="P22" s="2" t="s">
        <v>86</v>
      </c>
    </row>
    <row r="23" spans="1:16" ht="44.4" x14ac:dyDescent="0.4">
      <c r="A23" s="2" t="s">
        <v>87</v>
      </c>
      <c r="B23" s="13" t="s">
        <v>196</v>
      </c>
      <c r="C23" s="3" t="s">
        <v>88</v>
      </c>
      <c r="D23" s="6">
        <v>518</v>
      </c>
      <c r="E23" s="6">
        <v>245</v>
      </c>
      <c r="F23" s="7">
        <v>3337</v>
      </c>
      <c r="G23" s="7">
        <v>311700877</v>
      </c>
      <c r="H23" s="7">
        <v>427219760</v>
      </c>
      <c r="I23" s="3">
        <v>452</v>
      </c>
      <c r="J23" s="3">
        <v>803</v>
      </c>
      <c r="K23" s="12" t="str">
        <f>HYPERLINK(O23,"Click for Brands")</f>
        <v>Click for Brands</v>
      </c>
      <c r="L23" s="12" t="str">
        <f>HYPERLINK(P23,"Click for Products")</f>
        <v>Click for Products</v>
      </c>
      <c r="M23" s="2" t="s">
        <v>176</v>
      </c>
      <c r="N23" s="2" t="s">
        <v>177</v>
      </c>
      <c r="O23" s="2" t="s">
        <v>89</v>
      </c>
      <c r="P23" s="2" t="s">
        <v>90</v>
      </c>
    </row>
    <row r="24" spans="1:16" ht="58.8" x14ac:dyDescent="0.4">
      <c r="A24" s="2" t="s">
        <v>91</v>
      </c>
      <c r="B24" s="13" t="s">
        <v>196</v>
      </c>
      <c r="C24" s="3" t="s">
        <v>92</v>
      </c>
      <c r="D24" s="6">
        <v>616</v>
      </c>
      <c r="E24" s="6">
        <v>238</v>
      </c>
      <c r="F24" s="7">
        <v>4884</v>
      </c>
      <c r="G24" s="7">
        <v>129090395</v>
      </c>
      <c r="H24" s="7">
        <v>136796027</v>
      </c>
      <c r="I24" s="3">
        <v>635</v>
      </c>
      <c r="J24" s="4">
        <v>1158</v>
      </c>
      <c r="K24" s="12" t="str">
        <f>HYPERLINK(O24,"Click for Brands")</f>
        <v>Click for Brands</v>
      </c>
      <c r="L24" s="12" t="str">
        <f>HYPERLINK(P24,"Click for Products")</f>
        <v>Click for Products</v>
      </c>
      <c r="M24" s="2" t="s">
        <v>176</v>
      </c>
      <c r="N24" s="2" t="s">
        <v>177</v>
      </c>
      <c r="O24" s="2" t="s">
        <v>93</v>
      </c>
      <c r="P24" s="2" t="s">
        <v>94</v>
      </c>
    </row>
    <row r="25" spans="1:16" ht="44.4" x14ac:dyDescent="0.4">
      <c r="A25" s="2" t="s">
        <v>95</v>
      </c>
      <c r="B25" s="13" t="s">
        <v>196</v>
      </c>
      <c r="C25" s="3" t="s">
        <v>96</v>
      </c>
      <c r="D25" s="6">
        <v>438</v>
      </c>
      <c r="E25" s="6">
        <v>204</v>
      </c>
      <c r="F25" s="7">
        <v>1766</v>
      </c>
      <c r="G25" s="7">
        <v>41933862</v>
      </c>
      <c r="H25" s="7">
        <v>157691525</v>
      </c>
      <c r="I25" s="3">
        <v>292</v>
      </c>
      <c r="J25" s="3">
        <v>908</v>
      </c>
      <c r="K25" s="12" t="str">
        <f>HYPERLINK(O25,"Click for Brands")</f>
        <v>Click for Brands</v>
      </c>
      <c r="L25" s="12" t="str">
        <f>HYPERLINK(P25,"Click for Products")</f>
        <v>Click for Products</v>
      </c>
      <c r="M25" s="2" t="s">
        <v>176</v>
      </c>
      <c r="N25" s="2" t="s">
        <v>177</v>
      </c>
      <c r="O25" s="2" t="s">
        <v>97</v>
      </c>
      <c r="P25" s="2" t="s">
        <v>98</v>
      </c>
    </row>
    <row r="26" spans="1:16" ht="58.8" x14ac:dyDescent="0.4">
      <c r="A26" s="2" t="s">
        <v>99</v>
      </c>
      <c r="B26" s="13" t="s">
        <v>196</v>
      </c>
      <c r="C26" s="3" t="s">
        <v>81</v>
      </c>
      <c r="D26" s="6">
        <v>660</v>
      </c>
      <c r="E26" s="6">
        <v>203</v>
      </c>
      <c r="F26" s="7">
        <v>2038</v>
      </c>
      <c r="G26" s="7">
        <v>33101710</v>
      </c>
      <c r="H26" s="7">
        <v>196535300</v>
      </c>
      <c r="I26" s="3">
        <v>406</v>
      </c>
      <c r="J26" s="4">
        <v>1834</v>
      </c>
      <c r="K26" s="12" t="str">
        <f>HYPERLINK(O26,"Click for Brands")</f>
        <v>Click for Brands</v>
      </c>
      <c r="L26" s="12" t="str">
        <f>HYPERLINK(P26,"Click for Products")</f>
        <v>Click for Products</v>
      </c>
      <c r="M26" s="2" t="s">
        <v>176</v>
      </c>
      <c r="N26" s="2" t="s">
        <v>177</v>
      </c>
      <c r="O26" s="2" t="s">
        <v>100</v>
      </c>
      <c r="P26" s="2" t="s">
        <v>101</v>
      </c>
    </row>
    <row r="27" spans="1:16" ht="44.4" x14ac:dyDescent="0.4">
      <c r="A27" s="2" t="s">
        <v>102</v>
      </c>
      <c r="B27" s="13" t="s">
        <v>195</v>
      </c>
      <c r="C27" s="3" t="s">
        <v>103</v>
      </c>
      <c r="D27" s="7">
        <v>9752</v>
      </c>
      <c r="E27" s="6">
        <v>79</v>
      </c>
      <c r="F27" s="7">
        <v>8176</v>
      </c>
      <c r="G27" s="7">
        <v>367071976</v>
      </c>
      <c r="H27" s="7">
        <v>204728425</v>
      </c>
      <c r="I27" s="4">
        <v>8186</v>
      </c>
      <c r="J27" s="4">
        <v>8531</v>
      </c>
      <c r="K27" s="12" t="str">
        <f>HYPERLINK(O27,"Click for Brands")</f>
        <v>Click for Brands</v>
      </c>
      <c r="L27" s="12" t="str">
        <f>HYPERLINK(P27,"Click for Products")</f>
        <v>Click for Products</v>
      </c>
      <c r="M27" s="2" t="s">
        <v>166</v>
      </c>
      <c r="N27" s="2" t="s">
        <v>167</v>
      </c>
      <c r="O27" s="2" t="s">
        <v>104</v>
      </c>
      <c r="P27" s="2" t="s">
        <v>105</v>
      </c>
    </row>
    <row r="28" spans="1:16" ht="58.8" x14ac:dyDescent="0.4">
      <c r="A28" s="2" t="s">
        <v>106</v>
      </c>
      <c r="B28" s="13" t="s">
        <v>195</v>
      </c>
      <c r="C28" s="3" t="s">
        <v>107</v>
      </c>
      <c r="D28" s="7">
        <v>8004</v>
      </c>
      <c r="E28" s="6">
        <v>15</v>
      </c>
      <c r="F28" s="7">
        <v>1560</v>
      </c>
      <c r="G28" s="7">
        <v>399064809</v>
      </c>
      <c r="H28" s="7">
        <v>283633299</v>
      </c>
      <c r="I28" s="4">
        <v>5736</v>
      </c>
      <c r="J28" s="4">
        <v>4615</v>
      </c>
      <c r="K28" s="12" t="str">
        <f>HYPERLINK(O28,"Click for Brands")</f>
        <v>Click for Brands</v>
      </c>
      <c r="L28" s="12" t="str">
        <f>HYPERLINK(P28,"Click for Products")</f>
        <v>Click for Products</v>
      </c>
      <c r="M28" s="2" t="s">
        <v>166</v>
      </c>
      <c r="N28" s="2" t="s">
        <v>167</v>
      </c>
      <c r="O28" s="2" t="s">
        <v>108</v>
      </c>
      <c r="P28" s="2" t="s">
        <v>109</v>
      </c>
    </row>
    <row r="29" spans="1:16" ht="44.4" x14ac:dyDescent="0.4">
      <c r="A29" s="2" t="s">
        <v>110</v>
      </c>
      <c r="B29" s="13" t="s">
        <v>195</v>
      </c>
      <c r="C29" s="3" t="s">
        <v>111</v>
      </c>
      <c r="D29" s="7">
        <v>7342</v>
      </c>
      <c r="E29" s="6">
        <v>0</v>
      </c>
      <c r="F29" s="6">
        <v>874</v>
      </c>
      <c r="G29" s="7">
        <v>87164974</v>
      </c>
      <c r="H29" s="7">
        <v>90847287</v>
      </c>
      <c r="I29" s="4">
        <v>5774</v>
      </c>
      <c r="J29" s="4">
        <v>4994</v>
      </c>
      <c r="K29" s="12" t="str">
        <f>HYPERLINK(O29,"Click for Brands")</f>
        <v>Click for Brands</v>
      </c>
      <c r="L29" s="12" t="str">
        <f>HYPERLINK(P29,"Click for Products")</f>
        <v>Click for Products</v>
      </c>
      <c r="M29" s="2" t="s">
        <v>168</v>
      </c>
      <c r="N29" s="2" t="s">
        <v>169</v>
      </c>
      <c r="O29" s="2" t="s">
        <v>112</v>
      </c>
      <c r="P29" s="2" t="s">
        <v>113</v>
      </c>
    </row>
    <row r="30" spans="1:16" ht="42" x14ac:dyDescent="0.4">
      <c r="A30" s="2" t="s">
        <v>114</v>
      </c>
      <c r="B30" s="13" t="s">
        <v>195</v>
      </c>
      <c r="C30" s="3" t="s">
        <v>115</v>
      </c>
      <c r="D30" s="7">
        <v>7130</v>
      </c>
      <c r="E30" s="6">
        <v>2</v>
      </c>
      <c r="F30" s="6">
        <v>181</v>
      </c>
      <c r="G30" s="7">
        <v>32410124</v>
      </c>
      <c r="H30" s="7">
        <v>31483324</v>
      </c>
      <c r="I30" s="4">
        <v>3061</v>
      </c>
      <c r="J30" s="4">
        <v>2465</v>
      </c>
      <c r="K30" s="12" t="str">
        <f>HYPERLINK(O30,"Click for Brands")</f>
        <v>Click for Brands</v>
      </c>
      <c r="L30" s="12" t="str">
        <f>HYPERLINK(P30,"Click for Products")</f>
        <v>Click for Products</v>
      </c>
      <c r="M30" s="2" t="s">
        <v>170</v>
      </c>
      <c r="N30" s="2" t="s">
        <v>171</v>
      </c>
      <c r="O30" s="2" t="s">
        <v>116</v>
      </c>
      <c r="P30" s="2" t="s">
        <v>117</v>
      </c>
    </row>
    <row r="31" spans="1:16" ht="42" x14ac:dyDescent="0.4">
      <c r="A31" s="2" t="s">
        <v>118</v>
      </c>
      <c r="B31" s="13" t="s">
        <v>195</v>
      </c>
      <c r="C31" s="3" t="s">
        <v>119</v>
      </c>
      <c r="D31" s="7">
        <v>6308</v>
      </c>
      <c r="E31" s="6">
        <v>17</v>
      </c>
      <c r="F31" s="7">
        <v>1695</v>
      </c>
      <c r="G31" s="7">
        <v>552948940</v>
      </c>
      <c r="H31" s="7">
        <v>251772929</v>
      </c>
      <c r="I31" s="4">
        <v>14821</v>
      </c>
      <c r="J31" s="4">
        <v>7178</v>
      </c>
      <c r="K31" s="12" t="str">
        <f>HYPERLINK(O31,"Click for Brands")</f>
        <v>Click for Brands</v>
      </c>
      <c r="L31" s="12" t="str">
        <f>HYPERLINK(P31,"Click for Products")</f>
        <v>Click for Products</v>
      </c>
      <c r="M31" s="2" t="s">
        <v>170</v>
      </c>
      <c r="N31" s="2" t="s">
        <v>171</v>
      </c>
      <c r="O31" s="2" t="s">
        <v>120</v>
      </c>
      <c r="P31" s="2" t="s">
        <v>121</v>
      </c>
    </row>
    <row r="32" spans="1:16" ht="44.4" x14ac:dyDescent="0.4">
      <c r="A32" s="2" t="s">
        <v>122</v>
      </c>
      <c r="B32" s="13" t="s">
        <v>195</v>
      </c>
      <c r="C32" s="3" t="s">
        <v>123</v>
      </c>
      <c r="D32" s="7">
        <v>5870</v>
      </c>
      <c r="E32" s="6">
        <v>7</v>
      </c>
      <c r="F32" s="6">
        <v>41</v>
      </c>
      <c r="G32" s="7">
        <v>2730200</v>
      </c>
      <c r="H32" s="7">
        <v>189261475</v>
      </c>
      <c r="I32" s="3">
        <v>119</v>
      </c>
      <c r="J32" s="4">
        <v>6745</v>
      </c>
      <c r="K32" s="12" t="str">
        <f>HYPERLINK(O32,"Click for Brands")</f>
        <v>Click for Brands</v>
      </c>
      <c r="L32" s="12" t="str">
        <f>HYPERLINK(P32,"Click for Products")</f>
        <v>Click for Products</v>
      </c>
      <c r="M32" s="2" t="s">
        <v>176</v>
      </c>
      <c r="N32" s="2" t="s">
        <v>177</v>
      </c>
      <c r="O32" s="2" t="s">
        <v>124</v>
      </c>
      <c r="P32" s="2" t="s">
        <v>125</v>
      </c>
    </row>
    <row r="33" spans="1:16" ht="44.4" x14ac:dyDescent="0.4">
      <c r="A33" s="2" t="s">
        <v>126</v>
      </c>
      <c r="B33" s="13" t="s">
        <v>194</v>
      </c>
      <c r="C33" s="3" t="s">
        <v>127</v>
      </c>
      <c r="D33" s="7">
        <v>34905</v>
      </c>
      <c r="E33" s="6">
        <v>31</v>
      </c>
      <c r="F33" s="6">
        <v>363</v>
      </c>
      <c r="G33" s="7">
        <v>2539585155</v>
      </c>
      <c r="H33" s="7">
        <v>3155793452</v>
      </c>
      <c r="I33" s="4">
        <v>91081</v>
      </c>
      <c r="J33" s="4">
        <v>111200</v>
      </c>
      <c r="K33" s="12" t="str">
        <f>HYPERLINK(O33,"Click for Brands")</f>
        <v>Click for Brands</v>
      </c>
      <c r="L33" s="12" t="str">
        <f>HYPERLINK(P33,"Click for Products")</f>
        <v>Click for Products</v>
      </c>
      <c r="M33" s="2" t="s">
        <v>180</v>
      </c>
      <c r="N33" s="2" t="s">
        <v>181</v>
      </c>
      <c r="O33" s="2" t="s">
        <v>128</v>
      </c>
      <c r="P33" s="2" t="s">
        <v>129</v>
      </c>
    </row>
    <row r="34" spans="1:16" ht="44.4" x14ac:dyDescent="0.4">
      <c r="A34" s="2" t="s">
        <v>130</v>
      </c>
      <c r="B34" s="13" t="s">
        <v>194</v>
      </c>
      <c r="C34" s="3" t="s">
        <v>131</v>
      </c>
      <c r="D34" s="7">
        <v>30707</v>
      </c>
      <c r="E34" s="6">
        <v>37</v>
      </c>
      <c r="F34" s="7">
        <v>5656</v>
      </c>
      <c r="G34" s="7">
        <v>936729050</v>
      </c>
      <c r="H34" s="7">
        <v>1182983664</v>
      </c>
      <c r="I34" s="4">
        <v>67942</v>
      </c>
      <c r="J34" s="4">
        <v>86164</v>
      </c>
      <c r="K34" s="12" t="str">
        <f>HYPERLINK(O34,"Click for Brands")</f>
        <v>Click for Brands</v>
      </c>
      <c r="L34" s="12" t="str">
        <f>HYPERLINK(P34,"Click for Products")</f>
        <v>Click for Products</v>
      </c>
      <c r="M34" s="2" t="s">
        <v>180</v>
      </c>
      <c r="N34" s="2" t="s">
        <v>181</v>
      </c>
      <c r="O34" s="2" t="s">
        <v>132</v>
      </c>
      <c r="P34" s="2" t="s">
        <v>133</v>
      </c>
    </row>
    <row r="35" spans="1:16" ht="44.4" x14ac:dyDescent="0.4">
      <c r="A35" s="2" t="s">
        <v>134</v>
      </c>
      <c r="B35" s="13" t="s">
        <v>194</v>
      </c>
      <c r="C35" s="3" t="s">
        <v>135</v>
      </c>
      <c r="D35" s="7">
        <v>25899</v>
      </c>
      <c r="E35" s="6">
        <v>27</v>
      </c>
      <c r="F35" s="7">
        <v>11925</v>
      </c>
      <c r="G35" s="7">
        <v>258073759</v>
      </c>
      <c r="H35" s="7">
        <v>943077101</v>
      </c>
      <c r="I35" s="4">
        <v>20305</v>
      </c>
      <c r="J35" s="4">
        <v>75953</v>
      </c>
      <c r="K35" s="12" t="str">
        <f>HYPERLINK(O35,"Click for Brands")</f>
        <v>Click for Brands</v>
      </c>
      <c r="L35" s="12" t="str">
        <f>HYPERLINK(P35,"Click for Products")</f>
        <v>Click for Products</v>
      </c>
      <c r="M35" s="2" t="s">
        <v>180</v>
      </c>
      <c r="N35" s="2" t="s">
        <v>181</v>
      </c>
      <c r="O35" s="2" t="s">
        <v>136</v>
      </c>
      <c r="P35" s="2" t="s">
        <v>137</v>
      </c>
    </row>
    <row r="36" spans="1:16" ht="42" x14ac:dyDescent="0.4">
      <c r="A36" s="2" t="s">
        <v>138</v>
      </c>
      <c r="B36" s="13" t="s">
        <v>194</v>
      </c>
      <c r="C36" s="3" t="s">
        <v>139</v>
      </c>
      <c r="D36" s="7">
        <v>15310</v>
      </c>
      <c r="E36" s="6">
        <v>18</v>
      </c>
      <c r="F36" s="7">
        <v>1796</v>
      </c>
      <c r="G36" s="7">
        <v>213545995</v>
      </c>
      <c r="H36" s="7">
        <v>249481407</v>
      </c>
      <c r="I36" s="4">
        <v>24458</v>
      </c>
      <c r="J36" s="4">
        <v>21851</v>
      </c>
      <c r="K36" s="12" t="str">
        <f>HYPERLINK(O36,"Click for Brands")</f>
        <v>Click for Brands</v>
      </c>
      <c r="L36" s="12" t="str">
        <f>HYPERLINK(P36,"Click for Products")</f>
        <v>Click for Products</v>
      </c>
      <c r="M36" s="2" t="s">
        <v>176</v>
      </c>
      <c r="N36" s="2" t="s">
        <v>177</v>
      </c>
      <c r="O36" s="2" t="s">
        <v>140</v>
      </c>
      <c r="P36" s="2" t="s">
        <v>141</v>
      </c>
    </row>
    <row r="37" spans="1:16" ht="42" x14ac:dyDescent="0.4">
      <c r="A37" s="2" t="s">
        <v>142</v>
      </c>
      <c r="B37" s="13" t="s">
        <v>193</v>
      </c>
      <c r="C37" s="3" t="s">
        <v>143</v>
      </c>
      <c r="D37" s="6">
        <v>7</v>
      </c>
      <c r="E37" s="6">
        <v>2</v>
      </c>
      <c r="F37" s="6">
        <v>42</v>
      </c>
      <c r="G37" s="7">
        <v>160725</v>
      </c>
      <c r="H37" s="7">
        <v>26900</v>
      </c>
      <c r="I37" s="3">
        <v>9</v>
      </c>
      <c r="J37" s="3">
        <v>3</v>
      </c>
      <c r="K37" s="12" t="str">
        <f>HYPERLINK(O37,"Click for Brands")</f>
        <v>Click for Brands</v>
      </c>
      <c r="L37" s="12" t="str">
        <f>HYPERLINK(P37,"Click for Products")</f>
        <v>Click for Products</v>
      </c>
      <c r="M37" s="2" t="s">
        <v>182</v>
      </c>
      <c r="N37" s="2" t="s">
        <v>183</v>
      </c>
      <c r="O37" s="2" t="s">
        <v>144</v>
      </c>
      <c r="P37" s="2" t="s">
        <v>145</v>
      </c>
    </row>
    <row r="38" spans="1:16" ht="44.4" x14ac:dyDescent="0.4">
      <c r="A38" s="2" t="s">
        <v>146</v>
      </c>
      <c r="B38" s="13" t="s">
        <v>193</v>
      </c>
      <c r="C38" s="3" t="s">
        <v>143</v>
      </c>
      <c r="D38" s="6">
        <v>5</v>
      </c>
      <c r="E38" s="6">
        <v>2</v>
      </c>
      <c r="F38" s="6">
        <v>81</v>
      </c>
      <c r="G38" s="7">
        <v>129736</v>
      </c>
      <c r="H38" s="7">
        <v>36764</v>
      </c>
      <c r="I38" s="3">
        <v>24</v>
      </c>
      <c r="J38" s="3">
        <v>4</v>
      </c>
      <c r="K38" s="12" t="str">
        <f>HYPERLINK(O38,"Click for Brands")</f>
        <v>Click for Brands</v>
      </c>
      <c r="L38" s="12" t="str">
        <f>HYPERLINK(P38,"Click for Products")</f>
        <v>Click for Products</v>
      </c>
      <c r="M38" s="2" t="s">
        <v>182</v>
      </c>
      <c r="N38" s="2" t="s">
        <v>183</v>
      </c>
      <c r="O38" s="2" t="s">
        <v>147</v>
      </c>
      <c r="P38" s="2" t="s">
        <v>148</v>
      </c>
    </row>
    <row r="39" spans="1:16" ht="44.4" x14ac:dyDescent="0.4">
      <c r="A39" s="2" t="s">
        <v>149</v>
      </c>
      <c r="B39" s="13" t="s">
        <v>193</v>
      </c>
      <c r="C39" s="3" t="s">
        <v>150</v>
      </c>
      <c r="D39" s="6">
        <v>4</v>
      </c>
      <c r="E39" s="6">
        <v>2</v>
      </c>
      <c r="F39" s="6">
        <v>44</v>
      </c>
      <c r="G39" s="6">
        <v>0</v>
      </c>
      <c r="H39" s="6">
        <v>0</v>
      </c>
      <c r="I39" s="3">
        <v>0</v>
      </c>
      <c r="J39" s="3">
        <v>0</v>
      </c>
      <c r="K39" s="12" t="str">
        <f>HYPERLINK(O39,"Click for Brands")</f>
        <v>Click for Brands</v>
      </c>
      <c r="L39" s="12" t="str">
        <f>HYPERLINK(P39,"Click for Products")</f>
        <v>Click for Products</v>
      </c>
      <c r="M39" s="2" t="s">
        <v>166</v>
      </c>
      <c r="N39" s="2" t="s">
        <v>167</v>
      </c>
      <c r="O39" s="2" t="s">
        <v>151</v>
      </c>
      <c r="P39" s="2" t="s">
        <v>152</v>
      </c>
    </row>
    <row r="40" spans="1:16" ht="44.4" x14ac:dyDescent="0.4">
      <c r="A40" s="2" t="s">
        <v>153</v>
      </c>
      <c r="B40" s="13" t="s">
        <v>193</v>
      </c>
      <c r="C40" s="3" t="s">
        <v>143</v>
      </c>
      <c r="D40" s="6">
        <v>4</v>
      </c>
      <c r="E40" s="6">
        <v>2</v>
      </c>
      <c r="F40" s="6">
        <v>42</v>
      </c>
      <c r="G40" s="6">
        <v>0</v>
      </c>
      <c r="H40" s="6">
        <v>0</v>
      </c>
      <c r="I40" s="3">
        <v>0</v>
      </c>
      <c r="J40" s="3">
        <v>0</v>
      </c>
      <c r="K40" s="12" t="str">
        <f>HYPERLINK(O40,"Click for Brands")</f>
        <v>Click for Brands</v>
      </c>
      <c r="L40" s="12" t="str">
        <f>HYPERLINK(P40,"Click for Products")</f>
        <v>Click for Products</v>
      </c>
      <c r="M40" s="2" t="s">
        <v>166</v>
      </c>
      <c r="N40" s="2" t="s">
        <v>167</v>
      </c>
      <c r="O40" s="2" t="s">
        <v>154</v>
      </c>
      <c r="P40" s="2" t="s">
        <v>155</v>
      </c>
    </row>
    <row r="41" spans="1:16" ht="44.4" x14ac:dyDescent="0.4">
      <c r="A41" s="2" t="s">
        <v>156</v>
      </c>
      <c r="B41" s="13" t="s">
        <v>193</v>
      </c>
      <c r="C41" s="3" t="s">
        <v>143</v>
      </c>
      <c r="D41" s="6">
        <v>4</v>
      </c>
      <c r="E41" s="6">
        <v>2</v>
      </c>
      <c r="F41" s="6">
        <v>49</v>
      </c>
      <c r="G41" s="7">
        <v>17745</v>
      </c>
      <c r="H41" s="7">
        <v>133134</v>
      </c>
      <c r="I41" s="3">
        <v>2</v>
      </c>
      <c r="J41" s="3">
        <v>4</v>
      </c>
      <c r="K41" s="12" t="str">
        <f>HYPERLINK(O41,"Click for Brands")</f>
        <v>Click for Brands</v>
      </c>
      <c r="L41" s="12" t="str">
        <f>HYPERLINK(P41,"Click for Products")</f>
        <v>Click for Products</v>
      </c>
      <c r="M41" s="2" t="s">
        <v>166</v>
      </c>
      <c r="N41" s="2" t="s">
        <v>167</v>
      </c>
      <c r="O41" s="2" t="s">
        <v>157</v>
      </c>
      <c r="P41" s="2" t="s">
        <v>158</v>
      </c>
    </row>
    <row r="42" spans="1:16" ht="44.4" x14ac:dyDescent="0.4">
      <c r="A42" s="2" t="s">
        <v>159</v>
      </c>
      <c r="B42" s="13" t="s">
        <v>193</v>
      </c>
      <c r="C42" s="3" t="s">
        <v>160</v>
      </c>
      <c r="D42" s="6">
        <v>3</v>
      </c>
      <c r="E42" s="6">
        <v>2</v>
      </c>
      <c r="F42" s="6">
        <v>33</v>
      </c>
      <c r="G42" s="6">
        <v>0</v>
      </c>
      <c r="H42" s="6">
        <v>0</v>
      </c>
      <c r="I42" s="3">
        <v>0</v>
      </c>
      <c r="J42" s="3">
        <v>0</v>
      </c>
      <c r="K42" s="12" t="str">
        <f>HYPERLINK(O42,"Click for Brands")</f>
        <v>Click for Brands</v>
      </c>
      <c r="L42" s="12" t="str">
        <f>HYPERLINK(P42,"Click for Products")</f>
        <v>Click for Products</v>
      </c>
      <c r="M42" s="2" t="s">
        <v>184</v>
      </c>
      <c r="N42" s="2" t="s">
        <v>185</v>
      </c>
      <c r="O42" s="2" t="s">
        <v>161</v>
      </c>
      <c r="P42" s="2" t="s">
        <v>162</v>
      </c>
    </row>
    <row r="43" spans="1:16" ht="42" x14ac:dyDescent="0.4">
      <c r="A43" s="2" t="s">
        <v>163</v>
      </c>
      <c r="B43" s="13" t="s">
        <v>193</v>
      </c>
      <c r="C43" s="3" t="s">
        <v>150</v>
      </c>
      <c r="D43" s="6">
        <v>3</v>
      </c>
      <c r="E43" s="6">
        <v>2</v>
      </c>
      <c r="F43" s="6">
        <v>9</v>
      </c>
      <c r="G43" s="6">
        <v>0</v>
      </c>
      <c r="H43" s="6">
        <v>0</v>
      </c>
      <c r="I43" s="3">
        <v>0</v>
      </c>
      <c r="J43" s="3">
        <v>0</v>
      </c>
      <c r="K43" s="12" t="str">
        <f>HYPERLINK(O43,"Click for Brands")</f>
        <v>Click for Brands</v>
      </c>
      <c r="L43" s="12" t="str">
        <f>HYPERLINK(P43,"Click for Products")</f>
        <v>Click for Products</v>
      </c>
      <c r="M43" s="2" t="s">
        <v>182</v>
      </c>
      <c r="N43" s="2" t="s">
        <v>183</v>
      </c>
      <c r="O43" s="2" t="s">
        <v>164</v>
      </c>
      <c r="P43" s="2" t="s">
        <v>165</v>
      </c>
    </row>
  </sheetData>
  <autoFilter ref="A1:P1">
    <sortState ref="A2:P43">
      <sortCondition ref="B1"/>
    </sortState>
  </autoFilter>
  <hyperlinks>
    <hyperlink ref="P4" r:id="rId1"/>
  </hyperlinks>
  <pageMargins left="0.25" right="0.25" top="0.75" bottom="0.75" header="0.3" footer="0.3"/>
  <pageSetup paperSize="9" scale="55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sample 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2026-01-03T21:41:45Z</cp:lastPrinted>
  <dcterms:created xsi:type="dcterms:W3CDTF">2026-01-03T20:41:08Z</dcterms:created>
  <dcterms:modified xsi:type="dcterms:W3CDTF">2026-01-03T21:41:57Z</dcterms:modified>
</cp:coreProperties>
</file>